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otPa\git\school\mechatronics\labs\lab3\"/>
    </mc:Choice>
  </mc:AlternateContent>
  <xr:revisionPtr revIDLastSave="0" documentId="13_ncr:1_{93F56655-F784-4818-A648-E92E07AD3FA1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2" i="1" l="1"/>
  <c r="K23" i="1"/>
  <c r="K31" i="1"/>
  <c r="K32" i="1" s="1"/>
  <c r="K33" i="1" s="1"/>
  <c r="L13" i="1"/>
  <c r="K13" i="1"/>
  <c r="J13" i="1"/>
  <c r="I13" i="1"/>
  <c r="L12" i="1"/>
  <c r="M12" i="1" s="1"/>
  <c r="K12" i="1"/>
  <c r="J12" i="1"/>
  <c r="I12" i="1"/>
  <c r="L11" i="1"/>
  <c r="M11" i="1" s="1"/>
  <c r="K11" i="1"/>
  <c r="J11" i="1"/>
  <c r="I11" i="1"/>
  <c r="L10" i="1"/>
  <c r="M10" i="1" s="1"/>
  <c r="K10" i="1"/>
  <c r="J10" i="1"/>
  <c r="I10" i="1"/>
  <c r="L9" i="1"/>
  <c r="M9" i="1" s="1"/>
  <c r="K9" i="1"/>
  <c r="J9" i="1"/>
  <c r="I9" i="1"/>
  <c r="L8" i="1"/>
  <c r="M8" i="1" s="1"/>
  <c r="K8" i="1"/>
  <c r="J8" i="1"/>
  <c r="I8" i="1"/>
  <c r="L7" i="1"/>
  <c r="M7" i="1" s="1"/>
  <c r="K7" i="1"/>
  <c r="J7" i="1"/>
  <c r="I7" i="1"/>
  <c r="L6" i="1"/>
  <c r="M6" i="1" s="1"/>
  <c r="K6" i="1"/>
  <c r="J6" i="1"/>
  <c r="I6" i="1"/>
  <c r="L5" i="1"/>
  <c r="M5" i="1" s="1"/>
  <c r="K5" i="1"/>
  <c r="J5" i="1"/>
  <c r="I5" i="1"/>
  <c r="L4" i="1"/>
  <c r="M4" i="1" s="1"/>
  <c r="K4" i="1"/>
  <c r="J4" i="1"/>
  <c r="I4" i="1"/>
  <c r="L3" i="1"/>
  <c r="K3" i="1"/>
  <c r="J3" i="1"/>
  <c r="I3" i="1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M21" i="2"/>
  <c r="M22" i="2" s="1"/>
  <c r="H21" i="2"/>
  <c r="H20" i="2"/>
  <c r="M19" i="2"/>
  <c r="M20" i="2" s="1"/>
  <c r="H19" i="2"/>
  <c r="H18" i="2"/>
  <c r="M17" i="2"/>
  <c r="M18" i="2" s="1"/>
  <c r="H17" i="2"/>
  <c r="H16" i="2"/>
  <c r="H15" i="2"/>
  <c r="H14" i="2"/>
  <c r="M23" i="2" s="1"/>
  <c r="P13" i="2"/>
  <c r="Q13" i="2" s="1"/>
  <c r="N13" i="2"/>
  <c r="O13" i="2" s="1"/>
  <c r="M13" i="2"/>
  <c r="L13" i="2"/>
  <c r="M30" i="2" s="1"/>
  <c r="K13" i="2"/>
  <c r="H13" i="2"/>
  <c r="P12" i="2"/>
  <c r="Q12" i="2" s="1"/>
  <c r="N12" i="2"/>
  <c r="O12" i="2" s="1"/>
  <c r="M12" i="2"/>
  <c r="L12" i="2"/>
  <c r="K12" i="2"/>
  <c r="H12" i="2"/>
  <c r="P11" i="2"/>
  <c r="Q11" i="2" s="1"/>
  <c r="N11" i="2"/>
  <c r="O11" i="2" s="1"/>
  <c r="M11" i="2"/>
  <c r="L11" i="2"/>
  <c r="K11" i="2"/>
  <c r="H11" i="2"/>
  <c r="P10" i="2"/>
  <c r="Q10" i="2" s="1"/>
  <c r="N10" i="2"/>
  <c r="O10" i="2" s="1"/>
  <c r="M10" i="2"/>
  <c r="L10" i="2"/>
  <c r="K10" i="2"/>
  <c r="P9" i="2"/>
  <c r="Q9" i="2" s="1"/>
  <c r="N9" i="2"/>
  <c r="O9" i="2" s="1"/>
  <c r="M9" i="2"/>
  <c r="L9" i="2"/>
  <c r="K9" i="2"/>
  <c r="P8" i="2"/>
  <c r="Q8" i="2" s="1"/>
  <c r="N8" i="2"/>
  <c r="O8" i="2" s="1"/>
  <c r="M8" i="2"/>
  <c r="L8" i="2"/>
  <c r="K8" i="2"/>
  <c r="P7" i="2"/>
  <c r="Q7" i="2" s="1"/>
  <c r="N7" i="2"/>
  <c r="O7" i="2" s="1"/>
  <c r="M7" i="2"/>
  <c r="L7" i="2"/>
  <c r="K7" i="2"/>
  <c r="P6" i="2"/>
  <c r="Q6" i="2" s="1"/>
  <c r="N6" i="2"/>
  <c r="O6" i="2" s="1"/>
  <c r="M6" i="2"/>
  <c r="L6" i="2"/>
  <c r="K6" i="2"/>
  <c r="P5" i="2"/>
  <c r="Q5" i="2" s="1"/>
  <c r="N5" i="2"/>
  <c r="O5" i="2" s="1"/>
  <c r="M5" i="2"/>
  <c r="L5" i="2"/>
  <c r="M29" i="2" s="1"/>
  <c r="K5" i="2"/>
  <c r="P4" i="2"/>
  <c r="N4" i="2"/>
  <c r="O4" i="2" s="1"/>
  <c r="M4" i="2"/>
  <c r="L4" i="2"/>
  <c r="K4" i="2"/>
  <c r="P3" i="2"/>
  <c r="N3" i="2"/>
  <c r="O3" i="2" s="1"/>
  <c r="M3" i="2"/>
  <c r="L3" i="2"/>
  <c r="K3" i="2"/>
  <c r="K27" i="1" l="1"/>
  <c r="M13" i="1"/>
  <c r="K19" i="1"/>
  <c r="K18" i="1"/>
  <c r="K17" i="1"/>
  <c r="K26" i="1"/>
  <c r="M3" i="1"/>
  <c r="M26" i="2"/>
  <c r="K34" i="1" l="1"/>
</calcChain>
</file>

<file path=xl/sharedStrings.xml><?xml version="1.0" encoding="utf-8"?>
<sst xmlns="http://schemas.openxmlformats.org/spreadsheetml/2006/main" count="66" uniqueCount="49">
  <si>
    <t>Duty Cycle</t>
  </si>
  <si>
    <t>Optical Freq</t>
  </si>
  <si>
    <t>Optical RPM</t>
  </si>
  <si>
    <t>Raw ADC</t>
  </si>
  <si>
    <t>Drain mV</t>
  </si>
  <si>
    <t>Optical Freq (Avg)</t>
  </si>
  <si>
    <t>Optical RPM (Avg)</t>
  </si>
  <si>
    <t>Raw ADC (Avg)</t>
  </si>
  <si>
    <t>Drain mV (Avg)</t>
  </si>
  <si>
    <t>BEMF mV (Avg)</t>
  </si>
  <si>
    <t>Slope (m)</t>
  </si>
  <si>
    <t>Intercept (b)</t>
  </si>
  <si>
    <t>R squared</t>
  </si>
  <si>
    <t>rpm_per_count</t>
  </si>
  <si>
    <t>stopped_raw</t>
  </si>
  <si>
    <t>Drain at 0% duty (V)</t>
  </si>
  <si>
    <t>Drain at 100% duty (V)</t>
  </si>
  <si>
    <t>from the print in Figure 6</t>
  </si>
  <si>
    <t>Pin mV</t>
  </si>
  <si>
    <t>BEMF mV</t>
  </si>
  <si>
    <t>10 V supply minus drain</t>
  </si>
  <si>
    <t>BEMF RPM</t>
  </si>
  <si>
    <t>Error (%)</t>
  </si>
  <si>
    <t>BEMF RPM (Avg)</t>
  </si>
  <si>
    <t>Number of prints</t>
  </si>
  <si>
    <t>Avg absolute error (%)</t>
  </si>
  <si>
    <t>Error (%) ignoring the sign</t>
  </si>
  <si>
    <t>Within 5%</t>
  </si>
  <si>
    <t>number of prints</t>
  </si>
  <si>
    <t>Within 5% (%)</t>
  </si>
  <si>
    <t>Within 10%</t>
  </si>
  <si>
    <t>Within 10% (%)</t>
  </si>
  <si>
    <t>Worst error (%)</t>
  </si>
  <si>
    <t>largest error ignoring the sign</t>
  </si>
  <si>
    <t>Largest avg error (%)</t>
  </si>
  <si>
    <t>from the Error (%) column of the averages</t>
  </si>
  <si>
    <t>Valid range</t>
  </si>
  <si>
    <t>Lowest rpm</t>
  </si>
  <si>
    <t>Optical RPM (Avg) at 20% duty</t>
  </si>
  <si>
    <t>Highest rpm</t>
  </si>
  <si>
    <t>Optical RPM (Avg) at 100% duty</t>
  </si>
  <si>
    <t>rpm = m * (raw) + b</t>
  </si>
  <si>
    <t>rpm per ADC count. M = y/x = optical rpm / raw ADC</t>
  </si>
  <si>
    <t>how close to line</t>
  </si>
  <si>
    <t>raw * 3300 / 4096</t>
  </si>
  <si>
    <t>(stopped_raw - raw) * rpm_per_count</t>
  </si>
  <si>
    <t>pin * 57 / 10 (47k and 10k divider)</t>
  </si>
  <si>
    <t>Single Prints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</si>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</sst>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6"/>
  <sheetViews>
    <sheetView topLeftCell="A11" zoomScaleNormal="100" workbookViewId="0">
      <selection activeCell="N28" sqref="N28"/>
    </sheetView>
  </sheetViews>
  <sheetFormatPr defaultColWidth="8.6640625" defaultRowHeight="14.4" x14ac:dyDescent="0.3"/>
  <cols>
    <col min="1" max="1" width="9.5546875" style="1" customWidth="1"/>
    <col min="2" max="2" width="9.5546875" customWidth="1"/>
    <col min="3" max="3" width="10.77734375" customWidth="1"/>
    <col min="4" max="4" width="11" customWidth="1"/>
    <col min="5" max="6" width="8.44140625" customWidth="1"/>
    <col min="9" max="9" width="19.33203125" bestFit="1" customWidth="1"/>
    <col min="10" max="10" width="15.5546875" customWidth="1"/>
    <col min="11" max="12" width="12.88671875" customWidth="1"/>
    <col min="13" max="13" width="13.33203125" customWidth="1"/>
  </cols>
  <sheetData>
    <row r="2" spans="2:13" x14ac:dyDescent="0.3">
      <c r="B2" s="1" t="s">
        <v>0</v>
      </c>
      <c r="C2" t="s">
        <v>1</v>
      </c>
      <c r="D2" t="s">
        <v>2</v>
      </c>
      <c r="E2" t="s">
        <v>3</v>
      </c>
      <c r="F2" t="s">
        <v>4</v>
      </c>
      <c r="H2" s="1" t="s">
        <v>0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2:13" x14ac:dyDescent="0.3">
      <c r="B3" s="1">
        <v>0</v>
      </c>
      <c r="C3">
        <v>0</v>
      </c>
      <c r="D3">
        <v>0</v>
      </c>
      <c r="E3">
        <v>2117</v>
      </c>
      <c r="F3">
        <v>9718</v>
      </c>
      <c r="H3" s="1">
        <v>0</v>
      </c>
      <c r="I3">
        <f t="shared" ref="I3:I13" si="0">AVERAGEIF($B$3:$B$46,$H3,C$3:C$46)</f>
        <v>0</v>
      </c>
      <c r="J3">
        <f t="shared" ref="J3:J13" si="1">AVERAGEIF($B$3:$B$46,$H3,D$3:D$46)</f>
        <v>0</v>
      </c>
      <c r="K3">
        <f t="shared" ref="K3:K13" si="2">AVERAGEIF($B$3:$B$46,$H3,E$3:E$46)</f>
        <v>2117.75</v>
      </c>
      <c r="L3">
        <f t="shared" ref="L3:L13" si="3">AVERAGEIF($B$3:$B$46,$H3,F$3:F$46)</f>
        <v>9722.25</v>
      </c>
      <c r="M3">
        <f t="shared" ref="M3:M13" si="4">10000-L3</f>
        <v>277.75</v>
      </c>
    </row>
    <row r="4" spans="2:13" x14ac:dyDescent="0.3">
      <c r="B4" s="1">
        <v>0</v>
      </c>
      <c r="C4">
        <v>0</v>
      </c>
      <c r="D4">
        <v>0</v>
      </c>
      <c r="E4">
        <v>2119</v>
      </c>
      <c r="F4">
        <v>9729</v>
      </c>
      <c r="H4" s="1">
        <v>10</v>
      </c>
      <c r="I4">
        <f t="shared" si="0"/>
        <v>0</v>
      </c>
      <c r="J4">
        <f t="shared" si="1"/>
        <v>0</v>
      </c>
      <c r="K4">
        <f t="shared" si="2"/>
        <v>2123.75</v>
      </c>
      <c r="L4">
        <f t="shared" si="3"/>
        <v>9750.75</v>
      </c>
      <c r="M4">
        <f t="shared" si="4"/>
        <v>249.25</v>
      </c>
    </row>
    <row r="5" spans="2:13" x14ac:dyDescent="0.3">
      <c r="B5" s="1">
        <v>0</v>
      </c>
      <c r="C5">
        <v>0</v>
      </c>
      <c r="D5">
        <v>0</v>
      </c>
      <c r="E5">
        <v>2118</v>
      </c>
      <c r="F5">
        <v>9724</v>
      </c>
      <c r="H5" s="1">
        <v>20</v>
      </c>
      <c r="I5">
        <f t="shared" si="0"/>
        <v>121.75</v>
      </c>
      <c r="J5">
        <f t="shared" si="1"/>
        <v>228.25</v>
      </c>
      <c r="K5">
        <f t="shared" si="2"/>
        <v>1845.25</v>
      </c>
      <c r="L5">
        <f t="shared" si="3"/>
        <v>8471.25</v>
      </c>
      <c r="M5">
        <f t="shared" si="4"/>
        <v>1528.75</v>
      </c>
    </row>
    <row r="6" spans="2:13" x14ac:dyDescent="0.3">
      <c r="B6" s="1">
        <v>0</v>
      </c>
      <c r="C6">
        <v>0</v>
      </c>
      <c r="D6">
        <v>0</v>
      </c>
      <c r="E6">
        <v>2117</v>
      </c>
      <c r="F6">
        <v>9718</v>
      </c>
      <c r="H6" s="1">
        <v>30</v>
      </c>
      <c r="I6">
        <f t="shared" si="0"/>
        <v>212.25</v>
      </c>
      <c r="J6">
        <f t="shared" si="1"/>
        <v>398</v>
      </c>
      <c r="K6">
        <f t="shared" si="2"/>
        <v>1646.25</v>
      </c>
      <c r="L6">
        <f t="shared" si="3"/>
        <v>7556.5</v>
      </c>
      <c r="M6">
        <f t="shared" si="4"/>
        <v>2443.5</v>
      </c>
    </row>
    <row r="7" spans="2:13" x14ac:dyDescent="0.3">
      <c r="B7" s="1">
        <v>10</v>
      </c>
      <c r="C7">
        <v>0</v>
      </c>
      <c r="D7">
        <v>0</v>
      </c>
      <c r="E7">
        <v>2124</v>
      </c>
      <c r="F7">
        <v>9752</v>
      </c>
      <c r="H7" s="1">
        <v>40</v>
      </c>
      <c r="I7">
        <f t="shared" si="0"/>
        <v>301.5</v>
      </c>
      <c r="J7">
        <f t="shared" si="1"/>
        <v>565.25</v>
      </c>
      <c r="K7">
        <f t="shared" si="2"/>
        <v>1409.5</v>
      </c>
      <c r="L7">
        <f t="shared" si="3"/>
        <v>6470.5</v>
      </c>
      <c r="M7">
        <f t="shared" si="4"/>
        <v>3529.5</v>
      </c>
    </row>
    <row r="8" spans="2:13" x14ac:dyDescent="0.3">
      <c r="B8" s="1">
        <v>10</v>
      </c>
      <c r="C8">
        <v>0</v>
      </c>
      <c r="D8">
        <v>0</v>
      </c>
      <c r="E8">
        <v>2124</v>
      </c>
      <c r="F8">
        <v>9752</v>
      </c>
      <c r="H8" s="1">
        <v>50</v>
      </c>
      <c r="I8">
        <f t="shared" si="0"/>
        <v>389.25</v>
      </c>
      <c r="J8">
        <f t="shared" si="1"/>
        <v>730</v>
      </c>
      <c r="K8">
        <f t="shared" si="2"/>
        <v>1190</v>
      </c>
      <c r="L8">
        <f t="shared" si="3"/>
        <v>5461.75</v>
      </c>
      <c r="M8">
        <f t="shared" si="4"/>
        <v>4538.25</v>
      </c>
    </row>
    <row r="9" spans="2:13" x14ac:dyDescent="0.3">
      <c r="B9" s="1">
        <v>10</v>
      </c>
      <c r="C9">
        <v>0</v>
      </c>
      <c r="D9">
        <v>0</v>
      </c>
      <c r="E9">
        <v>2125</v>
      </c>
      <c r="F9">
        <v>9758</v>
      </c>
      <c r="H9" s="1">
        <v>60</v>
      </c>
      <c r="I9">
        <f t="shared" si="0"/>
        <v>480.25</v>
      </c>
      <c r="J9">
        <f t="shared" si="1"/>
        <v>900.5</v>
      </c>
      <c r="K9">
        <f t="shared" si="2"/>
        <v>993.25</v>
      </c>
      <c r="L9">
        <f t="shared" si="3"/>
        <v>4559.5</v>
      </c>
      <c r="M9">
        <f t="shared" si="4"/>
        <v>5440.5</v>
      </c>
    </row>
    <row r="10" spans="2:13" x14ac:dyDescent="0.3">
      <c r="B10" s="1">
        <v>10</v>
      </c>
      <c r="C10">
        <v>0</v>
      </c>
      <c r="D10">
        <v>0</v>
      </c>
      <c r="E10">
        <v>2122</v>
      </c>
      <c r="F10">
        <v>9741</v>
      </c>
      <c r="H10" s="1">
        <v>70</v>
      </c>
      <c r="I10">
        <f t="shared" si="0"/>
        <v>572</v>
      </c>
      <c r="J10">
        <f t="shared" si="1"/>
        <v>1073</v>
      </c>
      <c r="K10">
        <f t="shared" si="2"/>
        <v>808.5</v>
      </c>
      <c r="L10">
        <f t="shared" si="3"/>
        <v>3708.75</v>
      </c>
      <c r="M10">
        <f t="shared" si="4"/>
        <v>6291.25</v>
      </c>
    </row>
    <row r="11" spans="2:13" x14ac:dyDescent="0.3">
      <c r="B11" s="1">
        <v>20</v>
      </c>
      <c r="C11">
        <v>121</v>
      </c>
      <c r="D11">
        <v>227</v>
      </c>
      <c r="E11">
        <v>1830</v>
      </c>
      <c r="F11">
        <v>8401</v>
      </c>
      <c r="H11" s="1">
        <v>80</v>
      </c>
      <c r="I11">
        <f t="shared" si="0"/>
        <v>659</v>
      </c>
      <c r="J11">
        <f t="shared" si="1"/>
        <v>1236</v>
      </c>
      <c r="K11">
        <f t="shared" si="2"/>
        <v>625.75</v>
      </c>
      <c r="L11">
        <f t="shared" si="3"/>
        <v>2871</v>
      </c>
      <c r="M11">
        <f t="shared" si="4"/>
        <v>7129</v>
      </c>
    </row>
    <row r="12" spans="2:13" x14ac:dyDescent="0.3">
      <c r="B12" s="1">
        <v>20</v>
      </c>
      <c r="C12">
        <v>121</v>
      </c>
      <c r="D12">
        <v>227</v>
      </c>
      <c r="E12">
        <v>1882</v>
      </c>
      <c r="F12">
        <v>8641</v>
      </c>
      <c r="H12" s="1">
        <v>90</v>
      </c>
      <c r="I12">
        <f t="shared" si="0"/>
        <v>751.5</v>
      </c>
      <c r="J12">
        <f t="shared" si="1"/>
        <v>1409</v>
      </c>
      <c r="K12">
        <f t="shared" si="2"/>
        <v>344.25</v>
      </c>
      <c r="L12">
        <f t="shared" si="3"/>
        <v>1578.25</v>
      </c>
      <c r="M12">
        <f t="shared" si="4"/>
        <v>8421.75</v>
      </c>
    </row>
    <row r="13" spans="2:13" x14ac:dyDescent="0.3">
      <c r="B13" s="1">
        <v>20</v>
      </c>
      <c r="C13">
        <v>119</v>
      </c>
      <c r="D13">
        <v>223</v>
      </c>
      <c r="E13">
        <v>1836</v>
      </c>
      <c r="F13">
        <v>8430</v>
      </c>
      <c r="H13" s="1">
        <v>100</v>
      </c>
      <c r="I13">
        <f t="shared" si="0"/>
        <v>841.75</v>
      </c>
      <c r="J13">
        <f t="shared" si="1"/>
        <v>1578.5</v>
      </c>
      <c r="K13">
        <f t="shared" si="2"/>
        <v>84.25</v>
      </c>
      <c r="L13">
        <f t="shared" si="3"/>
        <v>384.25</v>
      </c>
      <c r="M13">
        <f t="shared" si="4"/>
        <v>9615.75</v>
      </c>
    </row>
    <row r="14" spans="2:13" x14ac:dyDescent="0.3">
      <c r="B14" s="1">
        <v>20</v>
      </c>
      <c r="C14">
        <v>126</v>
      </c>
      <c r="D14">
        <v>236</v>
      </c>
      <c r="E14">
        <v>1833</v>
      </c>
      <c r="F14">
        <v>8413</v>
      </c>
    </row>
    <row r="15" spans="2:13" x14ac:dyDescent="0.3">
      <c r="B15" s="1">
        <v>30</v>
      </c>
      <c r="C15">
        <v>209</v>
      </c>
      <c r="D15">
        <v>392</v>
      </c>
      <c r="E15">
        <v>1652</v>
      </c>
      <c r="F15">
        <v>7581</v>
      </c>
    </row>
    <row r="16" spans="2:13" x14ac:dyDescent="0.3">
      <c r="B16" s="1">
        <v>30</v>
      </c>
      <c r="C16">
        <v>211</v>
      </c>
      <c r="D16">
        <v>396</v>
      </c>
      <c r="E16">
        <v>1620</v>
      </c>
      <c r="F16">
        <v>7438</v>
      </c>
    </row>
    <row r="17" spans="2:12" x14ac:dyDescent="0.3">
      <c r="B17" s="1">
        <v>30</v>
      </c>
      <c r="C17">
        <v>215</v>
      </c>
      <c r="D17">
        <v>403</v>
      </c>
      <c r="E17">
        <v>1659</v>
      </c>
      <c r="F17">
        <v>7615</v>
      </c>
      <c r="I17" t="s">
        <v>10</v>
      </c>
      <c r="K17">
        <f>SLOPE(J5:J13,K5:K13)</f>
        <v>-0.7822787134622432</v>
      </c>
      <c r="L17" t="s">
        <v>42</v>
      </c>
    </row>
    <row r="18" spans="2:12" x14ac:dyDescent="0.3">
      <c r="B18" s="1">
        <v>30</v>
      </c>
      <c r="C18">
        <v>214</v>
      </c>
      <c r="D18">
        <v>401</v>
      </c>
      <c r="E18">
        <v>1654</v>
      </c>
      <c r="F18">
        <v>7592</v>
      </c>
      <c r="I18" t="s">
        <v>11</v>
      </c>
      <c r="K18">
        <f>INTERCEPT(J5:J13,K5:K13)</f>
        <v>1679.7275165940766</v>
      </c>
      <c r="L18" t="s">
        <v>41</v>
      </c>
    </row>
    <row r="19" spans="2:12" x14ac:dyDescent="0.3">
      <c r="B19" s="1">
        <v>40</v>
      </c>
      <c r="C19">
        <v>302</v>
      </c>
      <c r="D19">
        <v>566</v>
      </c>
      <c r="E19">
        <v>1425</v>
      </c>
      <c r="F19">
        <v>6543</v>
      </c>
      <c r="I19" t="s">
        <v>12</v>
      </c>
      <c r="K19">
        <f>RSQ(J5:J13,K5:K13)</f>
        <v>0.99729911643334512</v>
      </c>
      <c r="L19" t="s">
        <v>43</v>
      </c>
    </row>
    <row r="20" spans="2:12" x14ac:dyDescent="0.3">
      <c r="B20" s="1">
        <v>40</v>
      </c>
      <c r="C20">
        <v>301</v>
      </c>
      <c r="D20">
        <v>564</v>
      </c>
      <c r="E20">
        <v>1391</v>
      </c>
      <c r="F20">
        <v>6384</v>
      </c>
    </row>
    <row r="21" spans="2:12" x14ac:dyDescent="0.3">
      <c r="B21" s="1">
        <v>40</v>
      </c>
      <c r="C21">
        <v>299</v>
      </c>
      <c r="D21">
        <v>561</v>
      </c>
      <c r="E21">
        <v>1414</v>
      </c>
      <c r="F21">
        <v>6492</v>
      </c>
    </row>
    <row r="22" spans="2:12" x14ac:dyDescent="0.3">
      <c r="B22" s="1">
        <v>40</v>
      </c>
      <c r="C22">
        <v>304</v>
      </c>
      <c r="D22">
        <v>570</v>
      </c>
      <c r="E22">
        <v>1408</v>
      </c>
      <c r="F22">
        <v>6463</v>
      </c>
      <c r="I22" t="s">
        <v>13</v>
      </c>
      <c r="K22">
        <f>-K17</f>
        <v>0.7822787134622432</v>
      </c>
    </row>
    <row r="23" spans="2:12" x14ac:dyDescent="0.3">
      <c r="B23" s="1">
        <v>50</v>
      </c>
      <c r="C23">
        <v>393</v>
      </c>
      <c r="D23">
        <v>737</v>
      </c>
      <c r="E23">
        <v>1165</v>
      </c>
      <c r="F23">
        <v>5346</v>
      </c>
      <c r="I23" t="s">
        <v>14</v>
      </c>
      <c r="K23">
        <f>-K18/K17</f>
        <v>2147.2238572872134</v>
      </c>
    </row>
    <row r="24" spans="2:12" x14ac:dyDescent="0.3">
      <c r="B24" s="1">
        <v>50</v>
      </c>
      <c r="C24">
        <v>393</v>
      </c>
      <c r="D24">
        <v>737</v>
      </c>
      <c r="E24">
        <v>1192</v>
      </c>
      <c r="F24">
        <v>5472</v>
      </c>
    </row>
    <row r="25" spans="2:12" x14ac:dyDescent="0.3">
      <c r="B25" s="1">
        <v>50</v>
      </c>
      <c r="C25">
        <v>385</v>
      </c>
      <c r="D25">
        <v>722</v>
      </c>
      <c r="E25">
        <v>1186</v>
      </c>
      <c r="F25">
        <v>5443</v>
      </c>
    </row>
    <row r="26" spans="2:12" x14ac:dyDescent="0.3">
      <c r="B26" s="1">
        <v>50</v>
      </c>
      <c r="C26">
        <v>386</v>
      </c>
      <c r="D26">
        <v>724</v>
      </c>
      <c r="E26">
        <v>1217</v>
      </c>
      <c r="F26">
        <v>5586</v>
      </c>
      <c r="I26" t="s">
        <v>15</v>
      </c>
      <c r="K26">
        <f>L3/1000</f>
        <v>9.7222500000000007</v>
      </c>
    </row>
    <row r="27" spans="2:12" x14ac:dyDescent="0.3">
      <c r="B27" s="1">
        <v>60</v>
      </c>
      <c r="C27">
        <v>481</v>
      </c>
      <c r="D27">
        <v>902</v>
      </c>
      <c r="E27">
        <v>961</v>
      </c>
      <c r="F27">
        <v>4411</v>
      </c>
      <c r="I27" t="s">
        <v>16</v>
      </c>
      <c r="K27">
        <f>L13/1000</f>
        <v>0.38424999999999998</v>
      </c>
    </row>
    <row r="28" spans="2:12" x14ac:dyDescent="0.3">
      <c r="B28" s="1">
        <v>60</v>
      </c>
      <c r="C28">
        <v>481</v>
      </c>
      <c r="D28">
        <v>902</v>
      </c>
      <c r="E28">
        <v>1002</v>
      </c>
      <c r="F28">
        <v>4599</v>
      </c>
    </row>
    <row r="29" spans="2:12" x14ac:dyDescent="0.3">
      <c r="B29" s="1">
        <v>60</v>
      </c>
      <c r="C29">
        <v>479</v>
      </c>
      <c r="D29">
        <v>898</v>
      </c>
      <c r="E29">
        <v>1018</v>
      </c>
      <c r="F29">
        <v>4674</v>
      </c>
    </row>
    <row r="30" spans="2:12" x14ac:dyDescent="0.3">
      <c r="B30" s="1">
        <v>60</v>
      </c>
      <c r="C30">
        <v>480</v>
      </c>
      <c r="D30">
        <v>900</v>
      </c>
      <c r="E30">
        <v>992</v>
      </c>
      <c r="F30">
        <v>4554</v>
      </c>
      <c r="I30" t="s">
        <v>3</v>
      </c>
      <c r="K30">
        <v>1207</v>
      </c>
      <c r="L30" t="s">
        <v>17</v>
      </c>
    </row>
    <row r="31" spans="2:12" x14ac:dyDescent="0.3">
      <c r="B31" s="1">
        <v>70</v>
      </c>
      <c r="C31">
        <v>572</v>
      </c>
      <c r="D31">
        <v>1073</v>
      </c>
      <c r="E31">
        <v>773</v>
      </c>
      <c r="F31">
        <v>3545</v>
      </c>
      <c r="I31" t="s">
        <v>18</v>
      </c>
      <c r="K31">
        <f>INT(K30*3300/4096)</f>
        <v>972</v>
      </c>
      <c r="L31" t="s">
        <v>44</v>
      </c>
    </row>
    <row r="32" spans="2:12" x14ac:dyDescent="0.3">
      <c r="B32" s="1">
        <v>70</v>
      </c>
      <c r="C32">
        <v>572</v>
      </c>
      <c r="D32">
        <v>1073</v>
      </c>
      <c r="E32">
        <v>826</v>
      </c>
      <c r="F32">
        <v>3790</v>
      </c>
      <c r="I32" t="s">
        <v>4</v>
      </c>
      <c r="K32">
        <f>INT(K31*57/10)</f>
        <v>5540</v>
      </c>
      <c r="L32" t="s">
        <v>46</v>
      </c>
    </row>
    <row r="33" spans="2:12" x14ac:dyDescent="0.3">
      <c r="B33" s="1">
        <v>70</v>
      </c>
      <c r="C33">
        <v>572</v>
      </c>
      <c r="D33">
        <v>1073</v>
      </c>
      <c r="E33">
        <v>821</v>
      </c>
      <c r="F33">
        <v>3767</v>
      </c>
      <c r="I33" t="s">
        <v>19</v>
      </c>
      <c r="K33">
        <f>10000-K32</f>
        <v>4460</v>
      </c>
      <c r="L33" t="s">
        <v>20</v>
      </c>
    </row>
    <row r="34" spans="2:12" x14ac:dyDescent="0.3">
      <c r="B34" s="1">
        <v>70</v>
      </c>
      <c r="C34">
        <v>572</v>
      </c>
      <c r="D34">
        <v>1073</v>
      </c>
      <c r="E34">
        <v>814</v>
      </c>
      <c r="F34">
        <v>3733</v>
      </c>
      <c r="I34" t="s">
        <v>21</v>
      </c>
      <c r="K34">
        <f>(K23-K30)*K22</f>
        <v>735.517109445149</v>
      </c>
      <c r="L34" t="s">
        <v>45</v>
      </c>
    </row>
    <row r="35" spans="2:12" x14ac:dyDescent="0.3">
      <c r="B35" s="1">
        <v>80</v>
      </c>
      <c r="C35">
        <v>658</v>
      </c>
      <c r="D35">
        <v>1234</v>
      </c>
      <c r="E35">
        <v>663</v>
      </c>
      <c r="F35">
        <v>3043</v>
      </c>
    </row>
    <row r="36" spans="2:12" x14ac:dyDescent="0.3">
      <c r="B36" s="1">
        <v>80</v>
      </c>
      <c r="C36">
        <v>659</v>
      </c>
      <c r="D36">
        <v>1236</v>
      </c>
      <c r="E36">
        <v>633</v>
      </c>
      <c r="F36">
        <v>2901</v>
      </c>
    </row>
    <row r="37" spans="2:12" x14ac:dyDescent="0.3">
      <c r="B37" s="1">
        <v>80</v>
      </c>
      <c r="C37">
        <v>660</v>
      </c>
      <c r="D37">
        <v>1238</v>
      </c>
      <c r="E37">
        <v>611</v>
      </c>
      <c r="F37">
        <v>2804</v>
      </c>
    </row>
    <row r="38" spans="2:12" x14ac:dyDescent="0.3">
      <c r="B38" s="1">
        <v>80</v>
      </c>
      <c r="C38">
        <v>659</v>
      </c>
      <c r="D38">
        <v>1236</v>
      </c>
      <c r="E38">
        <v>596</v>
      </c>
      <c r="F38">
        <v>2736</v>
      </c>
    </row>
    <row r="39" spans="2:12" x14ac:dyDescent="0.3">
      <c r="B39" s="1">
        <v>90</v>
      </c>
      <c r="C39">
        <v>753</v>
      </c>
      <c r="D39">
        <v>1412</v>
      </c>
      <c r="E39">
        <v>337</v>
      </c>
      <c r="F39">
        <v>1544</v>
      </c>
    </row>
    <row r="40" spans="2:12" x14ac:dyDescent="0.3">
      <c r="B40" s="1">
        <v>90</v>
      </c>
      <c r="C40">
        <v>751</v>
      </c>
      <c r="D40">
        <v>1408</v>
      </c>
      <c r="E40">
        <v>337</v>
      </c>
      <c r="F40">
        <v>1544</v>
      </c>
    </row>
    <row r="41" spans="2:12" x14ac:dyDescent="0.3">
      <c r="B41" s="1">
        <v>90</v>
      </c>
      <c r="C41">
        <v>751</v>
      </c>
      <c r="D41">
        <v>1408</v>
      </c>
      <c r="E41">
        <v>359</v>
      </c>
      <c r="F41">
        <v>1647</v>
      </c>
    </row>
    <row r="42" spans="2:12" x14ac:dyDescent="0.3">
      <c r="B42" s="1">
        <v>90</v>
      </c>
      <c r="C42">
        <v>751</v>
      </c>
      <c r="D42">
        <v>1408</v>
      </c>
      <c r="E42">
        <v>344</v>
      </c>
      <c r="F42">
        <v>1578</v>
      </c>
    </row>
    <row r="43" spans="2:12" x14ac:dyDescent="0.3">
      <c r="B43" s="1">
        <v>100</v>
      </c>
      <c r="C43">
        <v>840</v>
      </c>
      <c r="D43">
        <v>1575</v>
      </c>
      <c r="E43">
        <v>69</v>
      </c>
      <c r="F43">
        <v>313</v>
      </c>
    </row>
    <row r="44" spans="2:12" x14ac:dyDescent="0.3">
      <c r="B44" s="1">
        <v>100</v>
      </c>
      <c r="C44">
        <v>841</v>
      </c>
      <c r="D44">
        <v>1577</v>
      </c>
      <c r="E44">
        <v>72</v>
      </c>
      <c r="F44">
        <v>330</v>
      </c>
    </row>
    <row r="45" spans="2:12" x14ac:dyDescent="0.3">
      <c r="B45" s="1">
        <v>100</v>
      </c>
      <c r="C45">
        <v>843</v>
      </c>
      <c r="D45">
        <v>1581</v>
      </c>
      <c r="E45">
        <v>126</v>
      </c>
      <c r="F45">
        <v>575</v>
      </c>
    </row>
    <row r="46" spans="2:12" x14ac:dyDescent="0.3">
      <c r="B46" s="1">
        <v>100</v>
      </c>
      <c r="C46">
        <v>843</v>
      </c>
      <c r="D46">
        <v>1581</v>
      </c>
      <c r="E46">
        <v>70</v>
      </c>
      <c r="F46">
        <v>319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46"/>
  <sheetViews>
    <sheetView tabSelected="1" zoomScaleNormal="100" workbookViewId="0">
      <selection activeCell="K34" sqref="K34"/>
    </sheetView>
  </sheetViews>
  <sheetFormatPr defaultColWidth="8.6640625" defaultRowHeight="14.4" x14ac:dyDescent="0.3"/>
  <cols>
    <col min="1" max="2" width="9.5546875" customWidth="1"/>
    <col min="3" max="3" width="10.77734375" customWidth="1"/>
    <col min="4" max="4" width="11" customWidth="1"/>
    <col min="5" max="5" width="8.44140625" customWidth="1"/>
    <col min="7" max="7" width="9.88671875" bestFit="1" customWidth="1"/>
    <col min="11" max="11" width="15.33203125" customWidth="1"/>
    <col min="12" max="12" width="15.5546875" customWidth="1"/>
    <col min="13" max="13" width="12.88671875" customWidth="1"/>
    <col min="14" max="14" width="13.44140625" customWidth="1"/>
    <col min="15" max="15" width="13.33203125" customWidth="1"/>
    <col min="16" max="16" width="15" customWidth="1"/>
  </cols>
  <sheetData>
    <row r="2" spans="2:17" x14ac:dyDescent="0.3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21</v>
      </c>
      <c r="H2" t="s">
        <v>22</v>
      </c>
      <c r="J2" s="1" t="s">
        <v>0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23</v>
      </c>
      <c r="Q2" t="s">
        <v>22</v>
      </c>
    </row>
    <row r="3" spans="2:17" x14ac:dyDescent="0.3">
      <c r="B3" s="1">
        <v>0</v>
      </c>
      <c r="C3">
        <v>0</v>
      </c>
      <c r="D3">
        <v>0</v>
      </c>
      <c r="E3">
        <v>2115</v>
      </c>
      <c r="F3">
        <v>9707</v>
      </c>
      <c r="G3">
        <v>25</v>
      </c>
      <c r="J3" s="1">
        <v>0</v>
      </c>
      <c r="K3">
        <f t="shared" ref="K3:K13" si="0">AVERAGEIF($B$3:$B$46,$J3,C$3:C$46)</f>
        <v>0</v>
      </c>
      <c r="L3">
        <f t="shared" ref="L3:L13" si="1">AVERAGEIF($B$3:$B$46,$J3,D$3:D$46)</f>
        <v>0</v>
      </c>
      <c r="M3">
        <f t="shared" ref="M3:M13" si="2">AVERAGEIF($B$3:$B$46,$J3,E$3:E$46)</f>
        <v>2114.5</v>
      </c>
      <c r="N3">
        <f t="shared" ref="N3:N13" si="3">AVERAGEIF($B$3:$B$46,$J3,F$3:F$46)</f>
        <v>9706.75</v>
      </c>
      <c r="O3">
        <f t="shared" ref="O3:O13" si="4">10000-N3</f>
        <v>293.25</v>
      </c>
      <c r="P3">
        <f t="shared" ref="P3:P13" si="5">AVERAGEIF($B$3:$B$46,$J3,G$3:G$46)</f>
        <v>25.25</v>
      </c>
    </row>
    <row r="4" spans="2:17" x14ac:dyDescent="0.3">
      <c r="B4" s="1">
        <v>0</v>
      </c>
      <c r="C4">
        <v>0</v>
      </c>
      <c r="D4">
        <v>0</v>
      </c>
      <c r="E4">
        <v>2112</v>
      </c>
      <c r="F4">
        <v>9695</v>
      </c>
      <c r="G4">
        <v>27</v>
      </c>
      <c r="J4" s="1">
        <v>10</v>
      </c>
      <c r="K4">
        <f t="shared" si="0"/>
        <v>33.5</v>
      </c>
      <c r="L4">
        <f t="shared" si="1"/>
        <v>63</v>
      </c>
      <c r="M4">
        <f t="shared" si="2"/>
        <v>2098.25</v>
      </c>
      <c r="N4">
        <f t="shared" si="3"/>
        <v>9632.5</v>
      </c>
      <c r="O4">
        <f t="shared" si="4"/>
        <v>367.5</v>
      </c>
      <c r="P4">
        <f t="shared" si="5"/>
        <v>38</v>
      </c>
    </row>
    <row r="5" spans="2:17" x14ac:dyDescent="0.3">
      <c r="B5" s="1">
        <v>0</v>
      </c>
      <c r="C5">
        <v>0</v>
      </c>
      <c r="D5">
        <v>0</v>
      </c>
      <c r="E5">
        <v>2117</v>
      </c>
      <c r="F5">
        <v>9718</v>
      </c>
      <c r="G5">
        <v>23</v>
      </c>
      <c r="J5" s="1">
        <v>20</v>
      </c>
      <c r="K5">
        <f t="shared" si="0"/>
        <v>116.25</v>
      </c>
      <c r="L5">
        <f t="shared" si="1"/>
        <v>218</v>
      </c>
      <c r="M5">
        <f t="shared" si="2"/>
        <v>1869.5</v>
      </c>
      <c r="N5">
        <f t="shared" si="3"/>
        <v>8582.25</v>
      </c>
      <c r="O5">
        <f t="shared" si="4"/>
        <v>1417.75</v>
      </c>
      <c r="P5">
        <f t="shared" si="5"/>
        <v>217</v>
      </c>
      <c r="Q5">
        <f t="shared" ref="Q5:Q13" si="6">(P5-L5)/L5*100</f>
        <v>-0.45871559633027525</v>
      </c>
    </row>
    <row r="6" spans="2:17" x14ac:dyDescent="0.3">
      <c r="B6" s="1">
        <v>0</v>
      </c>
      <c r="C6">
        <v>0</v>
      </c>
      <c r="D6">
        <v>0</v>
      </c>
      <c r="E6">
        <v>2114</v>
      </c>
      <c r="F6">
        <v>9707</v>
      </c>
      <c r="G6">
        <v>26</v>
      </c>
      <c r="J6" s="1">
        <v>30</v>
      </c>
      <c r="K6">
        <f t="shared" si="0"/>
        <v>206.25</v>
      </c>
      <c r="L6">
        <f t="shared" si="1"/>
        <v>386.75</v>
      </c>
      <c r="M6">
        <f t="shared" si="2"/>
        <v>1645.75</v>
      </c>
      <c r="N6">
        <f t="shared" si="3"/>
        <v>7555</v>
      </c>
      <c r="O6">
        <f t="shared" si="4"/>
        <v>2445</v>
      </c>
      <c r="P6">
        <f t="shared" si="5"/>
        <v>391.75</v>
      </c>
      <c r="Q6">
        <f t="shared" si="6"/>
        <v>1.2928248222365868</v>
      </c>
    </row>
    <row r="7" spans="2:17" x14ac:dyDescent="0.3">
      <c r="B7" s="1">
        <v>10</v>
      </c>
      <c r="C7">
        <v>108</v>
      </c>
      <c r="D7">
        <v>203</v>
      </c>
      <c r="E7">
        <v>2101</v>
      </c>
      <c r="F7">
        <v>9644</v>
      </c>
      <c r="G7">
        <v>36</v>
      </c>
      <c r="J7" s="1">
        <v>40</v>
      </c>
      <c r="K7">
        <f t="shared" si="0"/>
        <v>296.75</v>
      </c>
      <c r="L7">
        <f t="shared" si="1"/>
        <v>556.5</v>
      </c>
      <c r="M7">
        <f t="shared" si="2"/>
        <v>1446.5</v>
      </c>
      <c r="N7">
        <f t="shared" si="3"/>
        <v>6640</v>
      </c>
      <c r="O7">
        <f t="shared" si="4"/>
        <v>3360</v>
      </c>
      <c r="P7">
        <f t="shared" si="5"/>
        <v>547.5</v>
      </c>
      <c r="Q7">
        <f t="shared" si="6"/>
        <v>-1.6172506738544474</v>
      </c>
    </row>
    <row r="8" spans="2:17" x14ac:dyDescent="0.3">
      <c r="B8" s="1">
        <v>10</v>
      </c>
      <c r="C8">
        <v>12</v>
      </c>
      <c r="D8">
        <v>23</v>
      </c>
      <c r="E8">
        <v>2108</v>
      </c>
      <c r="F8">
        <v>9678</v>
      </c>
      <c r="G8">
        <v>30</v>
      </c>
      <c r="J8" s="1">
        <v>50</v>
      </c>
      <c r="K8">
        <f t="shared" si="0"/>
        <v>392</v>
      </c>
      <c r="L8">
        <f t="shared" si="1"/>
        <v>735</v>
      </c>
      <c r="M8">
        <f t="shared" si="2"/>
        <v>1198.5</v>
      </c>
      <c r="N8">
        <f t="shared" si="3"/>
        <v>5500</v>
      </c>
      <c r="O8">
        <f t="shared" si="4"/>
        <v>4500</v>
      </c>
      <c r="P8">
        <f t="shared" si="5"/>
        <v>741.75</v>
      </c>
      <c r="Q8">
        <f t="shared" si="6"/>
        <v>0.91836734693877564</v>
      </c>
    </row>
    <row r="9" spans="2:17" x14ac:dyDescent="0.3">
      <c r="B9" s="1">
        <v>10</v>
      </c>
      <c r="C9">
        <v>5</v>
      </c>
      <c r="D9">
        <v>9</v>
      </c>
      <c r="E9">
        <v>2059</v>
      </c>
      <c r="F9">
        <v>9450</v>
      </c>
      <c r="G9">
        <v>69</v>
      </c>
      <c r="J9" s="1">
        <v>60</v>
      </c>
      <c r="K9">
        <f t="shared" si="0"/>
        <v>485</v>
      </c>
      <c r="L9">
        <f t="shared" si="1"/>
        <v>909.25</v>
      </c>
      <c r="M9">
        <f t="shared" si="2"/>
        <v>983</v>
      </c>
      <c r="N9">
        <f t="shared" si="3"/>
        <v>4511.25</v>
      </c>
      <c r="O9">
        <f t="shared" si="4"/>
        <v>5488.75</v>
      </c>
      <c r="P9">
        <f t="shared" si="5"/>
        <v>910.25</v>
      </c>
      <c r="Q9">
        <f t="shared" si="6"/>
        <v>0.10998075336816059</v>
      </c>
    </row>
    <row r="10" spans="2:17" x14ac:dyDescent="0.3">
      <c r="B10" s="1">
        <v>10</v>
      </c>
      <c r="C10">
        <v>9</v>
      </c>
      <c r="D10">
        <v>17</v>
      </c>
      <c r="E10">
        <v>2125</v>
      </c>
      <c r="F10">
        <v>9758</v>
      </c>
      <c r="G10">
        <v>17</v>
      </c>
      <c r="J10" s="1">
        <v>70</v>
      </c>
      <c r="K10">
        <f t="shared" si="0"/>
        <v>574.25</v>
      </c>
      <c r="L10">
        <f t="shared" si="1"/>
        <v>1076.5</v>
      </c>
      <c r="M10">
        <f t="shared" si="2"/>
        <v>794</v>
      </c>
      <c r="N10">
        <f t="shared" si="3"/>
        <v>3643.25</v>
      </c>
      <c r="O10">
        <f t="shared" si="4"/>
        <v>6356.75</v>
      </c>
      <c r="P10">
        <f t="shared" si="5"/>
        <v>1058</v>
      </c>
      <c r="Q10">
        <f t="shared" si="6"/>
        <v>-1.7185322805387833</v>
      </c>
    </row>
    <row r="11" spans="2:17" x14ac:dyDescent="0.3">
      <c r="B11" s="1">
        <v>20</v>
      </c>
      <c r="C11">
        <v>118</v>
      </c>
      <c r="D11">
        <v>221</v>
      </c>
      <c r="E11">
        <v>1888</v>
      </c>
      <c r="F11">
        <v>8669</v>
      </c>
      <c r="G11">
        <v>203</v>
      </c>
      <c r="H11">
        <f t="shared" ref="H11:H46" si="7">(G11-D11)/D11*100</f>
        <v>-8.1447963800904972</v>
      </c>
      <c r="J11" s="1">
        <v>80</v>
      </c>
      <c r="K11">
        <f t="shared" si="0"/>
        <v>655.25</v>
      </c>
      <c r="L11">
        <f t="shared" si="1"/>
        <v>1228.5</v>
      </c>
      <c r="M11">
        <f t="shared" si="2"/>
        <v>576.5</v>
      </c>
      <c r="N11">
        <f t="shared" si="3"/>
        <v>2644.25</v>
      </c>
      <c r="O11">
        <f t="shared" si="4"/>
        <v>7355.75</v>
      </c>
      <c r="P11">
        <f t="shared" si="5"/>
        <v>1228</v>
      </c>
      <c r="Q11">
        <f t="shared" si="6"/>
        <v>-4.0700040700040699E-2</v>
      </c>
    </row>
    <row r="12" spans="2:17" x14ac:dyDescent="0.3">
      <c r="B12" s="1">
        <v>20</v>
      </c>
      <c r="C12">
        <v>119</v>
      </c>
      <c r="D12">
        <v>223</v>
      </c>
      <c r="E12">
        <v>1873</v>
      </c>
      <c r="F12">
        <v>8601</v>
      </c>
      <c r="G12">
        <v>214</v>
      </c>
      <c r="H12">
        <f t="shared" si="7"/>
        <v>-4.0358744394618835</v>
      </c>
      <c r="J12" s="1">
        <v>90</v>
      </c>
      <c r="K12">
        <f t="shared" si="0"/>
        <v>746.25</v>
      </c>
      <c r="L12">
        <f t="shared" si="1"/>
        <v>1399.5</v>
      </c>
      <c r="M12">
        <f t="shared" si="2"/>
        <v>358.25</v>
      </c>
      <c r="N12">
        <f t="shared" si="3"/>
        <v>1641</v>
      </c>
      <c r="O12">
        <f t="shared" si="4"/>
        <v>8359</v>
      </c>
      <c r="P12">
        <f t="shared" si="5"/>
        <v>1398.75</v>
      </c>
      <c r="Q12">
        <f t="shared" si="6"/>
        <v>-5.3590568060021437E-2</v>
      </c>
    </row>
    <row r="13" spans="2:17" x14ac:dyDescent="0.3">
      <c r="B13" s="1">
        <v>20</v>
      </c>
      <c r="C13">
        <v>112</v>
      </c>
      <c r="D13">
        <v>210</v>
      </c>
      <c r="E13">
        <v>1849</v>
      </c>
      <c r="F13">
        <v>8487</v>
      </c>
      <c r="G13">
        <v>233</v>
      </c>
      <c r="H13">
        <f t="shared" si="7"/>
        <v>10.952380952380953</v>
      </c>
      <c r="J13" s="1">
        <v>100</v>
      </c>
      <c r="K13">
        <f t="shared" si="0"/>
        <v>832</v>
      </c>
      <c r="L13">
        <f t="shared" si="1"/>
        <v>1560</v>
      </c>
      <c r="M13">
        <f t="shared" si="2"/>
        <v>190</v>
      </c>
      <c r="N13">
        <f t="shared" si="3"/>
        <v>870</v>
      </c>
      <c r="O13">
        <f t="shared" si="4"/>
        <v>9130</v>
      </c>
      <c r="P13">
        <f t="shared" si="5"/>
        <v>1530.25</v>
      </c>
      <c r="Q13">
        <f t="shared" si="6"/>
        <v>-1.9070512820512822</v>
      </c>
    </row>
    <row r="14" spans="2:17" x14ac:dyDescent="0.3">
      <c r="B14" s="1">
        <v>20</v>
      </c>
      <c r="C14">
        <v>116</v>
      </c>
      <c r="D14">
        <v>218</v>
      </c>
      <c r="E14">
        <v>1868</v>
      </c>
      <c r="F14">
        <v>8572</v>
      </c>
      <c r="G14">
        <v>218</v>
      </c>
      <c r="H14">
        <f t="shared" si="7"/>
        <v>0</v>
      </c>
    </row>
    <row r="15" spans="2:17" x14ac:dyDescent="0.3">
      <c r="B15" s="1">
        <v>30</v>
      </c>
      <c r="C15">
        <v>205</v>
      </c>
      <c r="D15">
        <v>384</v>
      </c>
      <c r="E15">
        <v>1672</v>
      </c>
      <c r="F15">
        <v>7677</v>
      </c>
      <c r="G15">
        <v>371</v>
      </c>
      <c r="H15">
        <f t="shared" si="7"/>
        <v>-3.3854166666666665</v>
      </c>
    </row>
    <row r="16" spans="2:17" x14ac:dyDescent="0.3">
      <c r="B16" s="1">
        <v>30</v>
      </c>
      <c r="C16">
        <v>204</v>
      </c>
      <c r="D16">
        <v>383</v>
      </c>
      <c r="E16">
        <v>1639</v>
      </c>
      <c r="F16">
        <v>7524</v>
      </c>
      <c r="G16">
        <v>397</v>
      </c>
      <c r="H16">
        <f t="shared" si="7"/>
        <v>3.6553524804177546</v>
      </c>
      <c r="K16" t="s">
        <v>47</v>
      </c>
    </row>
    <row r="17" spans="2:14" x14ac:dyDescent="0.3">
      <c r="B17" s="1">
        <v>30</v>
      </c>
      <c r="C17">
        <v>208</v>
      </c>
      <c r="D17">
        <v>390</v>
      </c>
      <c r="E17">
        <v>1630</v>
      </c>
      <c r="F17">
        <v>7484</v>
      </c>
      <c r="G17">
        <v>404</v>
      </c>
      <c r="H17">
        <f t="shared" si="7"/>
        <v>3.5897435897435894</v>
      </c>
      <c r="K17" t="s">
        <v>24</v>
      </c>
      <c r="M17">
        <f>COUNT(H11:H46)</f>
        <v>36</v>
      </c>
    </row>
    <row r="18" spans="2:14" x14ac:dyDescent="0.3">
      <c r="B18" s="1">
        <v>30</v>
      </c>
      <c r="C18">
        <v>208</v>
      </c>
      <c r="D18">
        <v>390</v>
      </c>
      <c r="E18">
        <v>1642</v>
      </c>
      <c r="F18">
        <v>7535</v>
      </c>
      <c r="G18">
        <v>395</v>
      </c>
      <c r="H18">
        <f t="shared" si="7"/>
        <v>1.2820512820512819</v>
      </c>
      <c r="K18" t="s">
        <v>25</v>
      </c>
      <c r="M18">
        <f>SUMPRODUCT(ABS(H11:H46))/M17</f>
        <v>3.2532687820886017</v>
      </c>
      <c r="N18" t="s">
        <v>26</v>
      </c>
    </row>
    <row r="19" spans="2:14" x14ac:dyDescent="0.3">
      <c r="B19" s="1">
        <v>40</v>
      </c>
      <c r="C19">
        <v>297</v>
      </c>
      <c r="D19">
        <v>557</v>
      </c>
      <c r="E19">
        <v>1484</v>
      </c>
      <c r="F19">
        <v>6811</v>
      </c>
      <c r="G19">
        <v>518</v>
      </c>
      <c r="H19">
        <f t="shared" si="7"/>
        <v>-7.0017953321364459</v>
      </c>
      <c r="K19" t="s">
        <v>27</v>
      </c>
      <c r="M19">
        <f>COUNTIFS(H11:H46,"&lt;=5",H11:H46,"&gt;=-5")</f>
        <v>30</v>
      </c>
      <c r="N19" t="s">
        <v>28</v>
      </c>
    </row>
    <row r="20" spans="2:14" x14ac:dyDescent="0.3">
      <c r="B20" s="1">
        <v>40</v>
      </c>
      <c r="C20">
        <v>297</v>
      </c>
      <c r="D20">
        <v>557</v>
      </c>
      <c r="E20">
        <v>1432</v>
      </c>
      <c r="F20">
        <v>6572</v>
      </c>
      <c r="G20">
        <v>559</v>
      </c>
      <c r="H20">
        <f t="shared" si="7"/>
        <v>0.35906642728904847</v>
      </c>
      <c r="K20" t="s">
        <v>29</v>
      </c>
      <c r="M20">
        <f>M19/M17*100</f>
        <v>83.333333333333343</v>
      </c>
    </row>
    <row r="21" spans="2:14" x14ac:dyDescent="0.3">
      <c r="B21" s="1">
        <v>40</v>
      </c>
      <c r="C21">
        <v>296</v>
      </c>
      <c r="D21">
        <v>555</v>
      </c>
      <c r="E21">
        <v>1409</v>
      </c>
      <c r="F21">
        <v>6469</v>
      </c>
      <c r="G21">
        <v>577</v>
      </c>
      <c r="H21">
        <f t="shared" si="7"/>
        <v>3.9639639639639639</v>
      </c>
      <c r="K21" t="s">
        <v>30</v>
      </c>
      <c r="M21">
        <f>COUNTIFS(H11:H46,"&lt;=10",H11:H46,"&gt;=-10")</f>
        <v>35</v>
      </c>
      <c r="N21" t="s">
        <v>28</v>
      </c>
    </row>
    <row r="22" spans="2:14" x14ac:dyDescent="0.3">
      <c r="B22" s="1">
        <v>40</v>
      </c>
      <c r="C22">
        <v>297</v>
      </c>
      <c r="D22">
        <v>557</v>
      </c>
      <c r="E22">
        <v>1461</v>
      </c>
      <c r="F22">
        <v>6708</v>
      </c>
      <c r="G22">
        <v>536</v>
      </c>
      <c r="H22">
        <f t="shared" si="7"/>
        <v>-3.7701974865350087</v>
      </c>
      <c r="K22" t="s">
        <v>31</v>
      </c>
      <c r="M22">
        <f>M21/M17*100</f>
        <v>97.222222222222214</v>
      </c>
    </row>
    <row r="23" spans="2:14" x14ac:dyDescent="0.3">
      <c r="B23" s="1">
        <v>50</v>
      </c>
      <c r="C23">
        <v>392</v>
      </c>
      <c r="D23">
        <v>735</v>
      </c>
      <c r="E23">
        <v>1207</v>
      </c>
      <c r="F23">
        <v>5540</v>
      </c>
      <c r="G23">
        <v>735</v>
      </c>
      <c r="H23">
        <f t="shared" si="7"/>
        <v>0</v>
      </c>
      <c r="K23" t="s">
        <v>32</v>
      </c>
      <c r="M23">
        <f>MAX(MAX(H11:H46),-MIN(H11:H46))</f>
        <v>10.952380952380953</v>
      </c>
      <c r="N23" t="s">
        <v>33</v>
      </c>
    </row>
    <row r="24" spans="2:14" x14ac:dyDescent="0.3">
      <c r="B24" s="1">
        <v>50</v>
      </c>
      <c r="C24">
        <v>393</v>
      </c>
      <c r="D24">
        <v>737</v>
      </c>
      <c r="E24">
        <v>1225</v>
      </c>
      <c r="F24">
        <v>5620</v>
      </c>
      <c r="G24">
        <v>721</v>
      </c>
      <c r="H24">
        <f t="shared" si="7"/>
        <v>-2.1709633649932156</v>
      </c>
    </row>
    <row r="25" spans="2:14" x14ac:dyDescent="0.3">
      <c r="B25" s="1">
        <v>50</v>
      </c>
      <c r="C25">
        <v>390</v>
      </c>
      <c r="D25">
        <v>731</v>
      </c>
      <c r="E25">
        <v>1186</v>
      </c>
      <c r="F25">
        <v>5443</v>
      </c>
      <c r="G25">
        <v>752</v>
      </c>
      <c r="H25">
        <f t="shared" si="7"/>
        <v>2.8727770177838576</v>
      </c>
      <c r="K25" t="s">
        <v>48</v>
      </c>
    </row>
    <row r="26" spans="2:14" x14ac:dyDescent="0.3">
      <c r="B26" s="1">
        <v>50</v>
      </c>
      <c r="C26">
        <v>393</v>
      </c>
      <c r="D26">
        <v>737</v>
      </c>
      <c r="E26">
        <v>1176</v>
      </c>
      <c r="F26">
        <v>5397</v>
      </c>
      <c r="G26">
        <v>759</v>
      </c>
      <c r="H26">
        <f t="shared" si="7"/>
        <v>2.9850746268656714</v>
      </c>
      <c r="K26" t="s">
        <v>34</v>
      </c>
      <c r="M26">
        <f>MAX(MAX(Q5:Q13),-MIN(Q5:Q13))</f>
        <v>1.9070512820512822</v>
      </c>
      <c r="N26" t="s">
        <v>35</v>
      </c>
    </row>
    <row r="27" spans="2:14" x14ac:dyDescent="0.3">
      <c r="B27" s="1">
        <v>60</v>
      </c>
      <c r="C27">
        <v>483</v>
      </c>
      <c r="D27">
        <v>906</v>
      </c>
      <c r="E27">
        <v>964</v>
      </c>
      <c r="F27">
        <v>4423</v>
      </c>
      <c r="G27">
        <v>925</v>
      </c>
      <c r="H27">
        <f t="shared" si="7"/>
        <v>2.0971302428256071</v>
      </c>
    </row>
    <row r="28" spans="2:14" x14ac:dyDescent="0.3">
      <c r="B28" s="1">
        <v>60</v>
      </c>
      <c r="C28">
        <v>486</v>
      </c>
      <c r="D28">
        <v>911</v>
      </c>
      <c r="E28">
        <v>941</v>
      </c>
      <c r="F28">
        <v>4320</v>
      </c>
      <c r="G28">
        <v>943</v>
      </c>
      <c r="H28">
        <f t="shared" si="7"/>
        <v>3.5126234906695939</v>
      </c>
      <c r="K28" t="s">
        <v>36</v>
      </c>
    </row>
    <row r="29" spans="2:14" x14ac:dyDescent="0.3">
      <c r="B29" s="1">
        <v>60</v>
      </c>
      <c r="C29">
        <v>485</v>
      </c>
      <c r="D29">
        <v>909</v>
      </c>
      <c r="E29">
        <v>1018</v>
      </c>
      <c r="F29">
        <v>4674</v>
      </c>
      <c r="G29">
        <v>883</v>
      </c>
      <c r="H29">
        <f t="shared" si="7"/>
        <v>-2.8602860286028604</v>
      </c>
      <c r="K29" t="s">
        <v>37</v>
      </c>
      <c r="M29">
        <f>L5</f>
        <v>218</v>
      </c>
      <c r="N29" t="s">
        <v>38</v>
      </c>
    </row>
    <row r="30" spans="2:14" x14ac:dyDescent="0.3">
      <c r="B30" s="1">
        <v>60</v>
      </c>
      <c r="C30">
        <v>486</v>
      </c>
      <c r="D30">
        <v>911</v>
      </c>
      <c r="E30">
        <v>1009</v>
      </c>
      <c r="F30">
        <v>4628</v>
      </c>
      <c r="G30">
        <v>890</v>
      </c>
      <c r="H30">
        <f t="shared" si="7"/>
        <v>-2.3051591657519208</v>
      </c>
      <c r="K30" t="s">
        <v>39</v>
      </c>
      <c r="M30">
        <f>L13</f>
        <v>1560</v>
      </c>
      <c r="N30" t="s">
        <v>40</v>
      </c>
    </row>
    <row r="31" spans="2:14" x14ac:dyDescent="0.3">
      <c r="B31" s="1">
        <v>70</v>
      </c>
      <c r="C31">
        <v>573</v>
      </c>
      <c r="D31">
        <v>1074</v>
      </c>
      <c r="E31">
        <v>740</v>
      </c>
      <c r="F31">
        <v>3397</v>
      </c>
      <c r="G31">
        <v>1100</v>
      </c>
      <c r="H31">
        <f t="shared" si="7"/>
        <v>2.4208566108007448</v>
      </c>
    </row>
    <row r="32" spans="2:14" x14ac:dyDescent="0.3">
      <c r="B32" s="1">
        <v>70</v>
      </c>
      <c r="C32">
        <v>577</v>
      </c>
      <c r="D32">
        <v>1082</v>
      </c>
      <c r="E32">
        <v>854</v>
      </c>
      <c r="F32">
        <v>3921</v>
      </c>
      <c r="G32">
        <v>1011</v>
      </c>
      <c r="H32">
        <f t="shared" si="7"/>
        <v>-6.5619223659889094</v>
      </c>
    </row>
    <row r="33" spans="2:8" x14ac:dyDescent="0.3">
      <c r="B33" s="1">
        <v>70</v>
      </c>
      <c r="C33">
        <v>573</v>
      </c>
      <c r="D33">
        <v>1074</v>
      </c>
      <c r="E33">
        <v>726</v>
      </c>
      <c r="F33">
        <v>3328</v>
      </c>
      <c r="G33">
        <v>1111</v>
      </c>
      <c r="H33">
        <f t="shared" si="7"/>
        <v>3.4450651769087521</v>
      </c>
    </row>
    <row r="34" spans="2:8" x14ac:dyDescent="0.3">
      <c r="B34" s="1">
        <v>70</v>
      </c>
      <c r="C34">
        <v>574</v>
      </c>
      <c r="D34">
        <v>1076</v>
      </c>
      <c r="E34">
        <v>856</v>
      </c>
      <c r="F34">
        <v>3927</v>
      </c>
      <c r="G34">
        <v>1010</v>
      </c>
      <c r="H34">
        <f t="shared" si="7"/>
        <v>-6.1338289962825279</v>
      </c>
    </row>
    <row r="35" spans="2:8" x14ac:dyDescent="0.3">
      <c r="B35" s="1">
        <v>80</v>
      </c>
      <c r="C35">
        <v>655</v>
      </c>
      <c r="D35">
        <v>1228</v>
      </c>
      <c r="E35">
        <v>655</v>
      </c>
      <c r="F35">
        <v>3003</v>
      </c>
      <c r="G35">
        <v>1167</v>
      </c>
      <c r="H35">
        <f t="shared" si="7"/>
        <v>-4.9674267100977199</v>
      </c>
    </row>
    <row r="36" spans="2:8" x14ac:dyDescent="0.3">
      <c r="B36" s="1">
        <v>80</v>
      </c>
      <c r="C36">
        <v>656</v>
      </c>
      <c r="D36">
        <v>1230</v>
      </c>
      <c r="E36">
        <v>562</v>
      </c>
      <c r="F36">
        <v>2576</v>
      </c>
      <c r="G36">
        <v>1239</v>
      </c>
      <c r="H36">
        <f t="shared" si="7"/>
        <v>0.73170731707317083</v>
      </c>
    </row>
    <row r="37" spans="2:8" x14ac:dyDescent="0.3">
      <c r="B37" s="1">
        <v>80</v>
      </c>
      <c r="C37">
        <v>655</v>
      </c>
      <c r="D37">
        <v>1228</v>
      </c>
      <c r="E37">
        <v>530</v>
      </c>
      <c r="F37">
        <v>2433</v>
      </c>
      <c r="G37">
        <v>1264</v>
      </c>
      <c r="H37">
        <f t="shared" si="7"/>
        <v>2.9315960912052117</v>
      </c>
    </row>
    <row r="38" spans="2:8" x14ac:dyDescent="0.3">
      <c r="B38" s="1">
        <v>80</v>
      </c>
      <c r="C38">
        <v>655</v>
      </c>
      <c r="D38">
        <v>1228</v>
      </c>
      <c r="E38">
        <v>559</v>
      </c>
      <c r="F38">
        <v>2565</v>
      </c>
      <c r="G38">
        <v>1242</v>
      </c>
      <c r="H38">
        <f t="shared" si="7"/>
        <v>1.1400651465798046</v>
      </c>
    </row>
    <row r="39" spans="2:8" x14ac:dyDescent="0.3">
      <c r="B39" s="1">
        <v>90</v>
      </c>
      <c r="C39">
        <v>745</v>
      </c>
      <c r="D39">
        <v>1397</v>
      </c>
      <c r="E39">
        <v>330</v>
      </c>
      <c r="F39">
        <v>1510</v>
      </c>
      <c r="G39">
        <v>1421</v>
      </c>
      <c r="H39">
        <f t="shared" si="7"/>
        <v>1.7179670722977811</v>
      </c>
    </row>
    <row r="40" spans="2:8" x14ac:dyDescent="0.3">
      <c r="B40" s="1">
        <v>90</v>
      </c>
      <c r="C40">
        <v>748</v>
      </c>
      <c r="D40">
        <v>1403</v>
      </c>
      <c r="E40">
        <v>366</v>
      </c>
      <c r="F40">
        <v>1675</v>
      </c>
      <c r="G40">
        <v>1393</v>
      </c>
      <c r="H40">
        <f t="shared" si="7"/>
        <v>-0.71275837491090521</v>
      </c>
    </row>
    <row r="41" spans="2:8" x14ac:dyDescent="0.3">
      <c r="B41" s="1">
        <v>90</v>
      </c>
      <c r="C41">
        <v>747</v>
      </c>
      <c r="D41">
        <v>1401</v>
      </c>
      <c r="E41">
        <v>418</v>
      </c>
      <c r="F41">
        <v>1915</v>
      </c>
      <c r="G41">
        <v>1352</v>
      </c>
      <c r="H41">
        <f t="shared" si="7"/>
        <v>-3.4975017844396863</v>
      </c>
    </row>
    <row r="42" spans="2:8" x14ac:dyDescent="0.3">
      <c r="B42" s="1">
        <v>90</v>
      </c>
      <c r="C42">
        <v>745</v>
      </c>
      <c r="D42">
        <v>1397</v>
      </c>
      <c r="E42">
        <v>319</v>
      </c>
      <c r="F42">
        <v>1464</v>
      </c>
      <c r="G42">
        <v>1429</v>
      </c>
      <c r="H42">
        <f t="shared" si="7"/>
        <v>2.2906227630637077</v>
      </c>
    </row>
    <row r="43" spans="2:8" x14ac:dyDescent="0.3">
      <c r="B43" s="1">
        <v>100</v>
      </c>
      <c r="C43">
        <v>834</v>
      </c>
      <c r="D43">
        <v>1564</v>
      </c>
      <c r="E43">
        <v>108</v>
      </c>
      <c r="F43">
        <v>495</v>
      </c>
      <c r="G43">
        <v>1594</v>
      </c>
      <c r="H43">
        <f t="shared" si="7"/>
        <v>1.9181585677749362</v>
      </c>
    </row>
    <row r="44" spans="2:8" x14ac:dyDescent="0.3">
      <c r="B44" s="1">
        <v>100</v>
      </c>
      <c r="C44">
        <v>832</v>
      </c>
      <c r="D44">
        <v>1560</v>
      </c>
      <c r="E44">
        <v>157</v>
      </c>
      <c r="F44">
        <v>718</v>
      </c>
      <c r="G44">
        <v>1556</v>
      </c>
      <c r="H44">
        <f t="shared" si="7"/>
        <v>-0.25641025641025639</v>
      </c>
    </row>
    <row r="45" spans="2:8" x14ac:dyDescent="0.3">
      <c r="B45" s="1">
        <v>100</v>
      </c>
      <c r="C45">
        <v>830</v>
      </c>
      <c r="D45">
        <v>1556</v>
      </c>
      <c r="E45">
        <v>344</v>
      </c>
      <c r="F45">
        <v>1578</v>
      </c>
      <c r="G45">
        <v>1410</v>
      </c>
      <c r="H45">
        <f t="shared" si="7"/>
        <v>-9.3830334190231355</v>
      </c>
    </row>
    <row r="46" spans="2:8" x14ac:dyDescent="0.3">
      <c r="B46" s="1">
        <v>100</v>
      </c>
      <c r="C46">
        <v>832</v>
      </c>
      <c r="D46">
        <v>1560</v>
      </c>
      <c r="E46">
        <v>151</v>
      </c>
      <c r="F46">
        <v>689</v>
      </c>
      <c r="G46">
        <v>1561</v>
      </c>
      <c r="H46">
        <f t="shared" si="7"/>
        <v>6.4102564102564097E-2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muscle man</dc:creator>
  <dc:description/>
  <cp:lastModifiedBy>Elburz, Subhaan Muhammad</cp:lastModifiedBy>
  <cp:revision>0</cp:revision>
  <dcterms:created xsi:type="dcterms:W3CDTF">2015-06-05T18:17:20Z</dcterms:created>
  <dcterms:modified xsi:type="dcterms:W3CDTF">2026-10-12T03:12:59Z</dcterms:modified>
  <dc:language>en-US</dc:language>
</cp:coreProperties>
</file>